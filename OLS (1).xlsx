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rob\Desktop\MetodyNumeryczne\"/>
    </mc:Choice>
  </mc:AlternateContent>
  <xr:revisionPtr revIDLastSave="0" documentId="13_ncr:1_{83C754F7-9949-430B-ABFA-64F6C499834B}" xr6:coauthVersionLast="47" xr6:coauthVersionMax="47" xr10:uidLastSave="{00000000-0000-0000-0000-000000000000}"/>
  <bookViews>
    <workbookView xWindow="-110" yWindow="-110" windowWidth="19420" windowHeight="10420" xr2:uid="{C214717D-4807-472F-AC47-0551C25CD213}"/>
  </bookViews>
  <sheets>
    <sheet name="Arkusz1" sheetId="1" r:id="rId1"/>
  </sheets>
  <definedNames>
    <definedName name="solver_adj" localSheetId="0" hidden="1">Arkusz1!$C$9,Arkusz1!$F$9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Arkusz1!$E$8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 a="1"/>
  <c r="A31" i="1"/>
  <c r="A32" i="1"/>
  <c r="A27" i="1" a="1"/>
  <c r="A27" i="1" s="1"/>
  <c r="A24" i="1" a="1"/>
  <c r="A24" i="1" s="1"/>
  <c r="A21" i="1" a="1"/>
  <c r="B22" i="1" s="1"/>
  <c r="A18" i="1" a="1"/>
  <c r="B18" i="1" s="1"/>
  <c r="A18" i="1"/>
  <c r="D19" i="1"/>
  <c r="D12" i="1" a="1"/>
  <c r="D12" i="1" s="1"/>
  <c r="B16" i="1"/>
  <c r="B15" i="1"/>
  <c r="B14" i="1"/>
  <c r="B13" i="1"/>
  <c r="B12" i="1"/>
  <c r="C7" i="1"/>
  <c r="D7" i="1" s="1"/>
  <c r="E7" i="1" s="1"/>
  <c r="C6" i="1"/>
  <c r="D6" i="1" s="1"/>
  <c r="E6" i="1" s="1"/>
  <c r="C5" i="1"/>
  <c r="D5" i="1" s="1"/>
  <c r="E5" i="1" s="1"/>
  <c r="C4" i="1"/>
  <c r="D4" i="1" s="1"/>
  <c r="E4" i="1" s="1"/>
  <c r="C3" i="1"/>
  <c r="D3" i="1" s="1"/>
  <c r="E3" i="1" s="1"/>
  <c r="B28" i="1" l="1"/>
  <c r="C28" i="1"/>
  <c r="A28" i="1"/>
  <c r="E27" i="1"/>
  <c r="D27" i="1"/>
  <c r="C27" i="1"/>
  <c r="E28" i="1"/>
  <c r="B27" i="1"/>
  <c r="D28" i="1"/>
  <c r="B25" i="1"/>
  <c r="A25" i="1"/>
  <c r="B24" i="1"/>
  <c r="A22" i="1"/>
  <c r="A21" i="1"/>
  <c r="B21" i="1"/>
  <c r="C19" i="1"/>
  <c r="B19" i="1"/>
  <c r="A19" i="1"/>
  <c r="E18" i="1"/>
  <c r="D18" i="1"/>
  <c r="C18" i="1"/>
  <c r="E19" i="1"/>
  <c r="E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<sst xmlns="http://schemas.openxmlformats.org/spreadsheetml/2006/main" count="12" uniqueCount="10">
  <si>
    <t>x</t>
  </si>
  <si>
    <t>y</t>
  </si>
  <si>
    <t xml:space="preserve">y = </t>
  </si>
  <si>
    <t>a</t>
  </si>
  <si>
    <t>+</t>
  </si>
  <si>
    <t>b</t>
  </si>
  <si>
    <t>* x</t>
  </si>
  <si>
    <t>mY</t>
  </si>
  <si>
    <t>y-mY</t>
  </si>
  <si>
    <t>(y-mY)*(y-mY)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</si>
</sst>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Arkusz1!$B$2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Arkusz1!$A$3:$A$7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Arkusz1!$B$3:$B$7</c:f>
              <c:numCache>
                <c:formatCode>General</c:formatCode>
                <c:ptCount val="5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F-4BD9-A8F7-DF38C787EFEA}"/>
            </c:ext>
          </c:extLst>
        </c:ser>
        <c:ser>
          <c:idx val="2"/>
          <c:order val="1"/>
          <c:tx>
            <c:strRef>
              <c:f>Arkusz1!$C$2</c:f>
              <c:strCache>
                <c:ptCount val="1"/>
                <c:pt idx="0">
                  <c:v>mY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Arkusz1!$A$3:$A$7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Arkusz1!$C$3:$C$7</c:f>
              <c:numCache>
                <c:formatCode>General</c:formatCode>
                <c:ptCount val="5"/>
                <c:pt idx="0">
                  <c:v>10.399994807606939</c:v>
                </c:pt>
                <c:pt idx="1">
                  <c:v>11.899996705253525</c:v>
                </c:pt>
                <c:pt idx="2">
                  <c:v>13.39999860290011</c:v>
                </c:pt>
                <c:pt idx="3">
                  <c:v>14.900000500546696</c:v>
                </c:pt>
                <c:pt idx="4">
                  <c:v>16.40000239819328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6F-4BD9-A8F7-DF38C787E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760207"/>
        <c:axId val="1528761167"/>
      </c:lineChart>
      <c:catAx>
        <c:axId val="152876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8761167"/>
        <c:crosses val="autoZero"/>
        <c:auto val="1"/>
        <c:lblAlgn val="ctr"/>
        <c:lblOffset val="100"/>
        <c:noMultiLvlLbl val="0"/>
      </c:catAx>
      <c:valAx>
        <c:axId val="152876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876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75407</xdr:colOff>
      <xdr:row>0</xdr:row>
      <xdr:rowOff>124122</xdr:rowOff>
    </xdr:from>
    <xdr:to>
      <xdr:col>14</xdr:col>
      <xdr:colOff>376040</xdr:colOff>
      <xdr:row>15</xdr:row>
      <xdr:rowOff>114002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441616D-C563-86FD-7FBE-13DCBA813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271A-403E-4DF1-A6C1-45317923B3C0}">
  <dimension ref="A2:G32"/>
  <sheetViews>
    <sheetView tabSelected="1" topLeftCell="E1" zoomScale="106" workbookViewId="0">
      <selection activeCell="A32" sqref="A32"/>
    </sheetView>
  </sheetViews>
  <sheetFormatPr defaultRowHeight="14.5" x14ac:dyDescent="0.35"/>
  <sheetData>
    <row r="2" spans="1:7" x14ac:dyDescent="0.35">
      <c r="A2" t="s">
        <v>0</v>
      </c>
      <c r="B2" t="s">
        <v>1</v>
      </c>
      <c r="C2" t="s">
        <v>7</v>
      </c>
      <c r="D2" t="s">
        <v>8</v>
      </c>
      <c r="E2" t="s">
        <v>9</v>
      </c>
    </row>
    <row r="3" spans="1:7" x14ac:dyDescent="0.35">
      <c r="A3">
        <v>1</v>
      </c>
      <c r="B3">
        <v>10</v>
      </c>
      <c r="C3">
        <f>A3*$F$9+$C$9</f>
        <v>10.399994807606939</v>
      </c>
      <c r="D3">
        <f>B3-C3</f>
        <v>-0.39999480760693906</v>
      </c>
      <c r="E3">
        <f>D3^2</f>
        <v>0.15999584611251219</v>
      </c>
    </row>
    <row r="4" spans="1:7" x14ac:dyDescent="0.35">
      <c r="A4">
        <v>2</v>
      </c>
      <c r="B4">
        <v>12</v>
      </c>
      <c r="C4">
        <f>A4*$F$9+$C$9</f>
        <v>11.899996705253525</v>
      </c>
      <c r="D4">
        <f>B4-C4</f>
        <v>0.10000329474647529</v>
      </c>
      <c r="E4">
        <f t="shared" ref="E4:E7" si="0">D4^2</f>
        <v>1.0000658960150413E-2</v>
      </c>
    </row>
    <row r="5" spans="1:7" x14ac:dyDescent="0.35">
      <c r="A5">
        <v>3</v>
      </c>
      <c r="B5">
        <v>14</v>
      </c>
      <c r="C5">
        <f>A5*$F$9+$C$9</f>
        <v>13.39999860290011</v>
      </c>
      <c r="D5">
        <f>B5-C5</f>
        <v>0.60000139709988964</v>
      </c>
      <c r="E5">
        <f t="shared" si="0"/>
        <v>0.36000167652181947</v>
      </c>
    </row>
    <row r="6" spans="1:7" x14ac:dyDescent="0.35">
      <c r="A6">
        <v>4</v>
      </c>
      <c r="B6">
        <v>15</v>
      </c>
      <c r="C6">
        <f>A6*$F$9+$C$9</f>
        <v>14.900000500546696</v>
      </c>
      <c r="D6">
        <f>B6-C6</f>
        <v>9.9999499453303997E-2</v>
      </c>
      <c r="E6">
        <f t="shared" si="0"/>
        <v>9.999899890911346E-3</v>
      </c>
    </row>
    <row r="7" spans="1:7" x14ac:dyDescent="0.35">
      <c r="A7">
        <v>5</v>
      </c>
      <c r="B7">
        <v>16</v>
      </c>
      <c r="C7">
        <f>A7*$F$9+$C$9</f>
        <v>16.40000239819328</v>
      </c>
      <c r="D7">
        <f>B7-C7</f>
        <v>-0.40000239819327987</v>
      </c>
      <c r="E7">
        <f t="shared" si="0"/>
        <v>0.16000191856037524</v>
      </c>
    </row>
    <row r="8" spans="1:7" x14ac:dyDescent="0.35">
      <c r="E8" s="1">
        <f>SUM(E3:E7)</f>
        <v>0.70000000004576868</v>
      </c>
    </row>
    <row r="9" spans="1:7" x14ac:dyDescent="0.35">
      <c r="A9" t="s">
        <v>2</v>
      </c>
      <c r="B9" t="s">
        <v>3</v>
      </c>
      <c r="C9" s="1">
        <v>8.8999929099603534</v>
      </c>
      <c r="D9" t="s">
        <v>4</v>
      </c>
      <c r="E9" t="s">
        <v>5</v>
      </c>
      <c r="F9" s="1">
        <v>1.5000018976465856</v>
      </c>
      <c r="G9" t="s">
        <v>6</v>
      </c>
    </row>
    <row r="12" spans="1:7" x14ac:dyDescent="0.35">
      <c r="A12" s="2">
        <v>1</v>
      </c>
      <c r="B12" s="3">
        <f>A3</f>
        <v>1</v>
      </c>
      <c r="D12" s="8" cm="1">
        <f t="array" ref="D12:D16">B3:B7</f>
        <v>10</v>
      </c>
    </row>
    <row r="13" spans="1:7" x14ac:dyDescent="0.35">
      <c r="A13" s="4">
        <v>1</v>
      </c>
      <c r="B13" s="5">
        <f>A4</f>
        <v>2</v>
      </c>
      <c r="D13" s="9">
        <v>12</v>
      </c>
    </row>
    <row r="14" spans="1:7" x14ac:dyDescent="0.35">
      <c r="A14" s="4">
        <v>1</v>
      </c>
      <c r="B14" s="5">
        <f>A5</f>
        <v>3</v>
      </c>
      <c r="D14" s="9">
        <v>14</v>
      </c>
    </row>
    <row r="15" spans="1:7" x14ac:dyDescent="0.35">
      <c r="A15" s="4">
        <v>1</v>
      </c>
      <c r="B15" s="5">
        <f>A6</f>
        <v>4</v>
      </c>
      <c r="D15" s="9">
        <v>15</v>
      </c>
    </row>
    <row r="16" spans="1:7" x14ac:dyDescent="0.35">
      <c r="A16" s="6">
        <v>1</v>
      </c>
      <c r="B16" s="7">
        <f>A7</f>
        <v>5</v>
      </c>
      <c r="D16" s="10">
        <v>16</v>
      </c>
    </row>
    <row r="18" spans="1:5" x14ac:dyDescent="0.35">
      <c r="A18">
        <f t="array" ref="A18:E19">TRANSPOSE(A12:B16)</f>
        <v>1</v>
      </c>
      <c r="B18">
        <v>1</v>
      </c>
      <c r="C18">
        <v>1</v>
      </c>
      <c r="D18">
        <v>1</v>
      </c>
      <c r="E18">
        <v>1</v>
      </c>
    </row>
    <row r="19" spans="1:5" x14ac:dyDescent="0.35">
      <c r="A19">
        <v>1</v>
      </c>
      <c r="B19">
        <v>2</v>
      </c>
      <c r="C19">
        <v>3</v>
      </c>
      <c r="D19">
        <v>4</v>
      </c>
      <c r="E19">
        <v>5</v>
      </c>
    </row>
    <row r="21" spans="1:5" x14ac:dyDescent="0.35">
      <c r="A21">
        <f t="array" ref="A21:B22">MMULT(A18:E19,A12:B16)</f>
        <v>5</v>
      </c>
      <c r="B21">
        <v>15</v>
      </c>
    </row>
    <row r="22" spans="1:5" x14ac:dyDescent="0.35">
      <c r="A22">
        <v>15</v>
      </c>
      <c r="B22">
        <v>55</v>
      </c>
    </row>
    <row r="24" spans="1:5" x14ac:dyDescent="0.35">
      <c r="A24">
        <f t="array" ref="A24:B25">MINVERSE(A21:B22)</f>
        <v>1.1000000000000005</v>
      </c>
      <c r="B24">
        <v>-0.3000000000000001</v>
      </c>
    </row>
    <row r="25" spans="1:5" x14ac:dyDescent="0.35">
      <c r="A25">
        <v>-0.3000000000000001</v>
      </c>
      <c r="B25">
        <v>0.10000000000000003</v>
      </c>
    </row>
    <row r="27" spans="1:5" x14ac:dyDescent="0.35">
      <c r="A27">
        <f t="array" ref="A27:E28">MMULT(A24:B25,A18:E19)</f>
        <v>0.80000000000000049</v>
      </c>
      <c r="B27">
        <v>0.50000000000000033</v>
      </c>
      <c r="C27">
        <v>0.20000000000000018</v>
      </c>
      <c r="D27">
        <v>-9.9999999999999867E-2</v>
      </c>
      <c r="E27">
        <v>-0.39999999999999991</v>
      </c>
    </row>
    <row r="28" spans="1:5" x14ac:dyDescent="0.35">
      <c r="A28">
        <v>-0.20000000000000007</v>
      </c>
      <c r="B28">
        <v>-0.10000000000000003</v>
      </c>
      <c r="C28">
        <v>0</v>
      </c>
      <c r="D28">
        <v>0.10000000000000003</v>
      </c>
      <c r="E28">
        <v>0.20000000000000012</v>
      </c>
    </row>
    <row r="31" spans="1:5" x14ac:dyDescent="0.35">
      <c r="A31" s="1">
        <f t="array" ref="A31:A32">MMULT(A27:E28,D12:D16)</f>
        <v>8.9000000000000146</v>
      </c>
      <c r="B31" t="s">
        <v>3</v>
      </c>
    </row>
    <row r="32" spans="1:5" x14ac:dyDescent="0.35">
      <c r="A32" s="1">
        <v>1.5000000000000013</v>
      </c>
      <c r="B32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Wyrobek</dc:creator>
  <cp:lastModifiedBy>Joanna Wyrobek</cp:lastModifiedBy>
  <dcterms:created xsi:type="dcterms:W3CDTF">2024-03-27T10:47:45Z</dcterms:created>
  <dcterms:modified xsi:type="dcterms:W3CDTF">2024-03-27T11:57:13Z</dcterms:modified>
</cp:coreProperties>
</file>